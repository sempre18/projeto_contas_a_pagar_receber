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gs\Documentos\GitHub\projeto_contas_a_pagar_receber\app\data\"/>
    </mc:Choice>
  </mc:AlternateContent>
  <xr:revisionPtr revIDLastSave="0" documentId="13_ncr:1_{959CA181-2FC6-4570-93F9-A22BBA9092F8}" xr6:coauthVersionLast="47" xr6:coauthVersionMax="47" xr10:uidLastSave="{00000000-0000-0000-0000-000000000000}"/>
  <bookViews>
    <workbookView xWindow="-28920" yWindow="-120" windowWidth="29040" windowHeight="15720" xr2:uid="{F4EF8221-4CEA-4B6C-B0E4-532E1587AB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D32" i="1"/>
  <c r="C32" i="1"/>
  <c r="B32" i="1"/>
  <c r="B36" i="1" s="1"/>
  <c r="C36" i="1" s="1"/>
  <c r="D36" i="1" s="1"/>
  <c r="E36" i="1" s="1"/>
  <c r="E23" i="1"/>
  <c r="D23" i="1"/>
  <c r="C23" i="1"/>
  <c r="B23" i="1"/>
</calcChain>
</file>

<file path=xl/sharedStrings.xml><?xml version="1.0" encoding="utf-8"?>
<sst xmlns="http://schemas.openxmlformats.org/spreadsheetml/2006/main" count="42" uniqueCount="33">
  <si>
    <t>FLUXO DE CAIXA PREVISTO</t>
  </si>
  <si>
    <t>18/08 a 21/08</t>
  </si>
  <si>
    <t>18/08/2026</t>
  </si>
  <si>
    <t>19/08/2026</t>
  </si>
  <si>
    <t>20/08/2026</t>
  </si>
  <si>
    <t>21/08/2026</t>
  </si>
  <si>
    <t>D E S P E S A S</t>
  </si>
  <si>
    <t>Conta Centro de Custo</t>
  </si>
  <si>
    <t>COMPRAS</t>
  </si>
  <si>
    <t>CUSTAS JUDICIAIS</t>
  </si>
  <si>
    <t>CUSTO FIXO</t>
  </si>
  <si>
    <t>DESPESAS FINANCEIRAS</t>
  </si>
  <si>
    <t>DESPESAS GERAIS</t>
  </si>
  <si>
    <t>DESPESAS VENDAS</t>
  </si>
  <si>
    <t>EMPRESTIMOS</t>
  </si>
  <si>
    <t>ESTORNOS</t>
  </si>
  <si>
    <t>FORA REL FECH</t>
  </si>
  <si>
    <t>FROTA</t>
  </si>
  <si>
    <t>FUNCIONARIOS</t>
  </si>
  <si>
    <t>IMPORTACAO</t>
  </si>
  <si>
    <t>IMPOSTOS</t>
  </si>
  <si>
    <t>IMPOSTOS PARCELAMENTO</t>
  </si>
  <si>
    <t>INVESTIMENTOS</t>
  </si>
  <si>
    <t>MARKETING</t>
  </si>
  <si>
    <t>PESSOA FISICA</t>
  </si>
  <si>
    <t>TOTAL</t>
  </si>
  <si>
    <t>R E C E B I M E N T O S</t>
  </si>
  <si>
    <t>Descrição Portador</t>
  </si>
  <si>
    <t>BOLETO</t>
  </si>
  <si>
    <t>CARTÃO</t>
  </si>
  <si>
    <t>DP ASSESSORIA</t>
  </si>
  <si>
    <t>VENDAS A VISTA (PROJEÇÃO)</t>
  </si>
  <si>
    <t>SALDO PREVISTO FINAL 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</si>
</sst>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.00_-;&quot;-R$ &quot;* #,##0.00_-;_-&quot;R$ &quot;* \-??_-;_-@_-"/>
  </numFmts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1F4E79"/>
      <name val="Arial"/>
      <charset val="1"/>
    </font>
    <font>
      <sz val="11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D9D9"/>
        <bgColor rgb="FFE6CFB7"/>
      </patternFill>
    </fill>
    <fill>
      <patternFill patternType="solid">
        <fgColor rgb="FFE2EFDA"/>
        <bgColor rgb="FFDDEBF6"/>
      </patternFill>
    </fill>
    <fill>
      <patternFill patternType="solid">
        <fgColor rgb="FFFFE5FF"/>
        <bgColor rgb="FFDDEBF7"/>
      </patternFill>
    </fill>
    <fill>
      <patternFill patternType="solid">
        <fgColor rgb="FFDDEBF7"/>
        <bgColor rgb="FFDDEBF6"/>
      </patternFill>
    </fill>
    <fill>
      <patternFill patternType="solid">
        <fgColor rgb="FFFFF2CC"/>
        <bgColor rgb="FFE2EFDA"/>
      </patternFill>
    </fill>
    <fill>
      <patternFill patternType="solid">
        <fgColor rgb="FFE6CFB7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DEBF6"/>
        <bgColor rgb="FFDDEBF7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indent="1"/>
    </xf>
    <xf numFmtId="164" fontId="4" fillId="4" borderId="9" xfId="0" applyNumberFormat="1" applyFont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 indent="1"/>
    </xf>
    <xf numFmtId="164" fontId="4" fillId="5" borderId="9" xfId="0" applyNumberFormat="1" applyFont="1" applyFill="1" applyBorder="1" applyAlignment="1">
      <alignment horizontal="right" vertical="center"/>
    </xf>
    <xf numFmtId="0" fontId="2" fillId="6" borderId="8" xfId="0" applyFont="1" applyFill="1" applyBorder="1" applyAlignment="1">
      <alignment horizontal="left" vertical="center" indent="1"/>
    </xf>
    <xf numFmtId="164" fontId="4" fillId="6" borderId="9" xfId="0" applyNumberFormat="1" applyFont="1" applyFill="1" applyBorder="1" applyAlignment="1">
      <alignment horizontal="right" vertical="center"/>
    </xf>
    <xf numFmtId="0" fontId="2" fillId="7" borderId="8" xfId="0" applyFont="1" applyFill="1" applyBorder="1" applyAlignment="1">
      <alignment horizontal="left" vertical="center" indent="1"/>
    </xf>
    <xf numFmtId="164" fontId="4" fillId="7" borderId="9" xfId="0" applyNumberFormat="1" applyFont="1" applyFill="1" applyBorder="1" applyAlignment="1">
      <alignment horizontal="right" vertical="center"/>
    </xf>
    <xf numFmtId="0" fontId="2" fillId="8" borderId="8" xfId="0" applyFont="1" applyFill="1" applyBorder="1" applyAlignment="1">
      <alignment horizontal="left" vertical="center" indent="1"/>
    </xf>
    <xf numFmtId="164" fontId="4" fillId="8" borderId="9" xfId="0" applyNumberFormat="1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left" vertical="center" indent="1"/>
    </xf>
    <xf numFmtId="164" fontId="2" fillId="4" borderId="11" xfId="0" applyNumberFormat="1" applyFont="1" applyFill="1" applyBorder="1" applyAlignment="1">
      <alignment horizontal="right" vertical="center"/>
    </xf>
    <xf numFmtId="164" fontId="2" fillId="4" borderId="12" xfId="0" applyNumberFormat="1" applyFont="1" applyFill="1" applyBorder="1" applyAlignment="1">
      <alignment horizontal="right" vertical="center"/>
    </xf>
    <xf numFmtId="0" fontId="2" fillId="10" borderId="8" xfId="0" applyFont="1" applyFill="1" applyBorder="1" applyAlignment="1">
      <alignment horizontal="left" vertical="center" indent="1"/>
    </xf>
    <xf numFmtId="164" fontId="4" fillId="10" borderId="9" xfId="0" applyNumberFormat="1" applyFont="1" applyFill="1" applyBorder="1" applyAlignment="1">
      <alignment horizontal="right" vertical="center"/>
    </xf>
    <xf numFmtId="0" fontId="2" fillId="9" borderId="10" xfId="0" applyFont="1" applyFill="1" applyBorder="1" applyAlignment="1">
      <alignment horizontal="left" vertical="center" indent="1"/>
    </xf>
    <xf numFmtId="164" fontId="2" fillId="9" borderId="11" xfId="0" applyNumberFormat="1" applyFont="1" applyFill="1" applyBorder="1" applyAlignment="1">
      <alignment horizontal="right" vertical="center"/>
    </xf>
    <xf numFmtId="164" fontId="2" fillId="9" borderId="12" xfId="0" applyNumberFormat="1" applyFont="1" applyFill="1" applyBorder="1" applyAlignment="1">
      <alignment horizontal="right" vertical="center"/>
    </xf>
    <xf numFmtId="0" fontId="2" fillId="9" borderId="15" xfId="0" applyFont="1" applyFill="1" applyBorder="1" applyAlignment="1">
      <alignment horizontal="left" vertical="center" indent="1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4</xdr:row>
      <xdr:rowOff>116499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6B38552-1345-13CE-38CC-D2D1B6F0C144}"/>
            </a:ext>
          </a:extLst>
        </xdr:cNvPr>
        <xdr:cNvSpPr>
          <a:spLocks noChangeAspect="1" noChangeArrowheads="1"/>
        </xdr:cNvSpPr>
      </xdr:nvSpPr>
      <xdr:spPr bwMode="auto">
        <a:xfrm>
          <a:off x="96202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304800</xdr:colOff>
      <xdr:row>4</xdr:row>
      <xdr:rowOff>116499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9E3F6FD-FCE3-E5A5-00D7-03DBE9EB9DE1}"/>
            </a:ext>
          </a:extLst>
        </xdr:cNvPr>
        <xdr:cNvSpPr>
          <a:spLocks noChangeAspect="1" noChangeArrowheads="1"/>
        </xdr:cNvSpPr>
      </xdr:nvSpPr>
      <xdr:spPr bwMode="auto">
        <a:xfrm>
          <a:off x="114490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6B65-DEE8-467A-B69F-DB52EA16D365}">
  <dimension ref="A1:E36"/>
  <sheetViews>
    <sheetView tabSelected="1" zoomScaleNormal="100" workbookViewId="0">
      <selection activeCell="J5" sqref="J5"/>
    </sheetView>
  </sheetViews>
  <sheetFormatPr defaultColWidth="8.7109375" defaultRowHeight="15" x14ac:dyDescent="0.25"/>
  <cols>
    <col min="1" max="1" width="35" bestFit="1" customWidth="1"/>
    <col min="2" max="5" width="16.5703125" bestFit="1" customWidth="1"/>
  </cols>
  <sheetData>
    <row r="1" spans="1:5" ht="18" x14ac:dyDescent="0.25">
      <c r="A1" s="37" t="s">
        <v>0</v>
      </c>
      <c r="B1" s="37"/>
      <c r="C1" s="37"/>
      <c r="D1" s="37"/>
      <c r="E1" s="37"/>
    </row>
    <row r="2" spans="1:5" x14ac:dyDescent="0.25">
      <c r="A2" s="38" t="s">
        <v>1</v>
      </c>
      <c r="B2" s="38"/>
      <c r="C2" s="38"/>
      <c r="D2" s="38"/>
      <c r="E2" s="38"/>
    </row>
    <row r="3" spans="1:5" ht="15.75" thickBot="1" x14ac:dyDescent="0.3"/>
    <row r="4" spans="1:5" x14ac:dyDescent="0.25">
      <c r="A4" s="39" t="s">
        <v>6</v>
      </c>
      <c r="B4" s="40"/>
      <c r="C4" s="40"/>
      <c r="D4" s="40"/>
      <c r="E4" s="41"/>
    </row>
    <row r="5" spans="1:5" x14ac:dyDescent="0.25">
      <c r="A5" s="12" t="s">
        <v>7</v>
      </c>
      <c r="B5" s="1" t="s">
        <v>2</v>
      </c>
      <c r="C5" s="1" t="s">
        <v>3</v>
      </c>
      <c r="D5" s="1" t="s">
        <v>4</v>
      </c>
      <c r="E5" s="13" t="s">
        <v>5</v>
      </c>
    </row>
    <row r="6" spans="1:5" x14ac:dyDescent="0.25">
      <c r="A6" s="14" t="s">
        <v>8</v>
      </c>
      <c r="B6" s="2">
        <v>23781.91</v>
      </c>
      <c r="C6" s="2">
        <v>19850</v>
      </c>
      <c r="D6" s="2">
        <v>12057.79</v>
      </c>
      <c r="E6" s="15">
        <v>22951.38</v>
      </c>
    </row>
    <row r="7" spans="1:5" x14ac:dyDescent="0.25">
      <c r="A7" s="16" t="s">
        <v>9</v>
      </c>
      <c r="B7" s="3"/>
      <c r="C7" s="3"/>
      <c r="D7" s="3">
        <v>2815.24</v>
      </c>
      <c r="E7" s="17"/>
    </row>
    <row r="8" spans="1:5" x14ac:dyDescent="0.25">
      <c r="A8" s="18" t="s">
        <v>10</v>
      </c>
      <c r="B8" s="4">
        <v>361.04</v>
      </c>
      <c r="C8" s="4"/>
      <c r="D8" s="4">
        <v>12353.1</v>
      </c>
      <c r="E8" s="19"/>
    </row>
    <row r="9" spans="1:5" x14ac:dyDescent="0.25">
      <c r="A9" s="20" t="s">
        <v>11</v>
      </c>
      <c r="B9" s="5"/>
      <c r="C9" s="5"/>
      <c r="D9" s="5"/>
      <c r="E9" s="21"/>
    </row>
    <row r="10" spans="1:5" x14ac:dyDescent="0.25">
      <c r="A10" s="22" t="s">
        <v>12</v>
      </c>
      <c r="B10" s="6">
        <v>220.92</v>
      </c>
      <c r="C10" s="6">
        <v>500</v>
      </c>
      <c r="D10" s="6">
        <v>272.99</v>
      </c>
      <c r="E10" s="23"/>
    </row>
    <row r="11" spans="1:5" x14ac:dyDescent="0.25">
      <c r="A11" s="14" t="s">
        <v>13</v>
      </c>
      <c r="B11" s="2">
        <v>308</v>
      </c>
      <c r="C11" s="2"/>
      <c r="D11" s="2"/>
      <c r="E11" s="15"/>
    </row>
    <row r="12" spans="1:5" x14ac:dyDescent="0.25">
      <c r="A12" s="14" t="s">
        <v>14</v>
      </c>
      <c r="B12" s="2"/>
      <c r="C12" s="2"/>
      <c r="D12" s="2"/>
      <c r="E12" s="15"/>
    </row>
    <row r="13" spans="1:5" x14ac:dyDescent="0.25">
      <c r="A13" s="16" t="s">
        <v>15</v>
      </c>
      <c r="B13" s="3">
        <v>1642</v>
      </c>
      <c r="C13" s="3"/>
      <c r="D13" s="3"/>
      <c r="E13" s="17"/>
    </row>
    <row r="14" spans="1:5" x14ac:dyDescent="0.25">
      <c r="A14" s="18" t="s">
        <v>16</v>
      </c>
      <c r="B14" s="4"/>
      <c r="C14" s="4"/>
      <c r="D14" s="4">
        <v>0.02</v>
      </c>
      <c r="E14" s="19">
        <v>0.01</v>
      </c>
    </row>
    <row r="15" spans="1:5" x14ac:dyDescent="0.25">
      <c r="A15" s="20" t="s">
        <v>17</v>
      </c>
      <c r="B15" s="5"/>
      <c r="C15" s="5">
        <v>2800.2</v>
      </c>
      <c r="D15" s="5">
        <v>600.46</v>
      </c>
      <c r="E15" s="21"/>
    </row>
    <row r="16" spans="1:5" x14ac:dyDescent="0.25">
      <c r="A16" s="22" t="s">
        <v>18</v>
      </c>
      <c r="B16" s="6"/>
      <c r="C16" s="6">
        <v>2836.77</v>
      </c>
      <c r="D16" s="6">
        <v>8923.2999999999993</v>
      </c>
      <c r="E16" s="23"/>
    </row>
    <row r="17" spans="1:5" x14ac:dyDescent="0.25">
      <c r="A17" s="14" t="s">
        <v>19</v>
      </c>
      <c r="B17" s="2"/>
      <c r="C17" s="2"/>
      <c r="D17" s="2"/>
      <c r="E17" s="15">
        <v>557600</v>
      </c>
    </row>
    <row r="18" spans="1:5" x14ac:dyDescent="0.25">
      <c r="A18" s="14" t="s">
        <v>20</v>
      </c>
      <c r="B18" s="2"/>
      <c r="C18" s="2"/>
      <c r="D18" s="2">
        <v>41845</v>
      </c>
      <c r="E18" s="15"/>
    </row>
    <row r="19" spans="1:5" x14ac:dyDescent="0.25">
      <c r="A19" s="16" t="s">
        <v>21</v>
      </c>
      <c r="B19" s="3"/>
      <c r="C19" s="3"/>
      <c r="D19" s="3"/>
      <c r="E19" s="17"/>
    </row>
    <row r="20" spans="1:5" x14ac:dyDescent="0.25">
      <c r="A20" s="18" t="s">
        <v>22</v>
      </c>
      <c r="B20" s="4"/>
      <c r="C20" s="4"/>
      <c r="D20" s="4"/>
      <c r="E20" s="19"/>
    </row>
    <row r="21" spans="1:5" x14ac:dyDescent="0.25">
      <c r="A21" s="20" t="s">
        <v>23</v>
      </c>
      <c r="B21" s="5"/>
      <c r="C21" s="5"/>
      <c r="D21" s="5"/>
      <c r="E21" s="21"/>
    </row>
    <row r="22" spans="1:5" ht="15.75" thickBot="1" x14ac:dyDescent="0.3">
      <c r="A22" s="22" t="s">
        <v>24</v>
      </c>
      <c r="B22" s="6"/>
      <c r="C22" s="6"/>
      <c r="D22" s="6">
        <v>664.43</v>
      </c>
      <c r="E22" s="23"/>
    </row>
    <row r="23" spans="1:5" ht="15.75" thickBot="1" x14ac:dyDescent="0.3">
      <c r="A23" s="24" t="s">
        <v>25</v>
      </c>
      <c r="B23" s="25">
        <f>SUM(B6:B22)</f>
        <v>26313.87</v>
      </c>
      <c r="C23" s="25">
        <f>SUM(C6:C22)</f>
        <v>25986.97</v>
      </c>
      <c r="D23" s="25">
        <f>SUM(D6:D22)</f>
        <v>79532.329999999987</v>
      </c>
      <c r="E23" s="26">
        <f>SUM(E6:E22)</f>
        <v>580551.39</v>
      </c>
    </row>
    <row r="25" spans="1:5" ht="15.75" thickBot="1" x14ac:dyDescent="0.3"/>
    <row r="26" spans="1:5" ht="15.75" thickBot="1" x14ac:dyDescent="0.3">
      <c r="A26" s="42" t="s">
        <v>26</v>
      </c>
      <c r="B26" s="43"/>
      <c r="C26" s="43"/>
      <c r="D26" s="43"/>
      <c r="E26" s="44"/>
    </row>
    <row r="27" spans="1:5" x14ac:dyDescent="0.25">
      <c r="A27" s="32" t="s">
        <v>27</v>
      </c>
      <c r="B27" s="33" t="s">
        <v>2</v>
      </c>
      <c r="C27" s="33" t="s">
        <v>3</v>
      </c>
      <c r="D27" s="33" t="s">
        <v>4</v>
      </c>
      <c r="E27" s="34" t="s">
        <v>5</v>
      </c>
    </row>
    <row r="28" spans="1:5" x14ac:dyDescent="0.25">
      <c r="A28" s="27" t="s">
        <v>28</v>
      </c>
      <c r="B28" s="7">
        <v>15095.97</v>
      </c>
      <c r="C28" s="7">
        <v>24815.919999999998</v>
      </c>
      <c r="D28" s="7">
        <v>50209.98</v>
      </c>
      <c r="E28" s="28">
        <v>43857.62</v>
      </c>
    </row>
    <row r="29" spans="1:5" x14ac:dyDescent="0.25">
      <c r="A29" s="27" t="s">
        <v>29</v>
      </c>
      <c r="B29" s="7">
        <v>2226.7199999999998</v>
      </c>
      <c r="C29" s="7">
        <v>851.74</v>
      </c>
      <c r="D29" s="7">
        <v>15500</v>
      </c>
      <c r="E29" s="28">
        <v>8082.72</v>
      </c>
    </row>
    <row r="30" spans="1:5" x14ac:dyDescent="0.25">
      <c r="A30" s="27" t="s">
        <v>30</v>
      </c>
      <c r="B30" s="7">
        <v>813.32</v>
      </c>
      <c r="C30" s="7">
        <v>446.48</v>
      </c>
      <c r="D30" s="7"/>
      <c r="E30" s="28"/>
    </row>
    <row r="31" spans="1:5" ht="15.75" thickBot="1" x14ac:dyDescent="0.3">
      <c r="A31" s="27" t="s">
        <v>31</v>
      </c>
      <c r="B31" s="7">
        <v>20000</v>
      </c>
      <c r="C31" s="7">
        <v>20000</v>
      </c>
      <c r="D31" s="7">
        <v>20000</v>
      </c>
      <c r="E31" s="28">
        <v>20000</v>
      </c>
    </row>
    <row r="32" spans="1:5" ht="15.75" thickBot="1" x14ac:dyDescent="0.3">
      <c r="A32" s="29" t="s">
        <v>25</v>
      </c>
      <c r="B32" s="30">
        <f>SUM(B28:B31)</f>
        <v>38136.009999999995</v>
      </c>
      <c r="C32" s="30">
        <f>SUM(C28:C31)</f>
        <v>46114.14</v>
      </c>
      <c r="D32" s="30">
        <f>SUM(D28:D31)</f>
        <v>85709.98000000001</v>
      </c>
      <c r="E32" s="31">
        <f>SUM(E28:E31)</f>
        <v>71940.34</v>
      </c>
    </row>
    <row r="34" spans="1:5" ht="15.75" thickBot="1" x14ac:dyDescent="0.3"/>
    <row r="35" spans="1:5" x14ac:dyDescent="0.25">
      <c r="A35" s="35" t="s">
        <v>32</v>
      </c>
      <c r="B35" s="8" t="s">
        <v>2</v>
      </c>
      <c r="C35" s="8" t="s">
        <v>3</v>
      </c>
      <c r="D35" s="8" t="s">
        <v>4</v>
      </c>
      <c r="E35" s="9" t="s">
        <v>5</v>
      </c>
    </row>
    <row r="36" spans="1:5" ht="15.75" thickBot="1" x14ac:dyDescent="0.3">
      <c r="A36" s="36"/>
      <c r="B36" s="10" t="e">
        <f>#REF!+B32-B23</f>
        <v>#REF!</v>
      </c>
      <c r="C36" s="10" t="e">
        <f>#REF!+C32-C23</f>
        <v>#REF!</v>
      </c>
      <c r="D36" s="10" t="e">
        <f>#REF!+D32-D23</f>
        <v>#REF!</v>
      </c>
      <c r="E36" s="11" t="e">
        <f>#REF!+E32-E23</f>
        <v>#REF!</v>
      </c>
    </row>
  </sheetData>
  <mergeCells count="5">
    <mergeCell ref="A35:A36"/>
    <mergeCell ref="A1:E1"/>
    <mergeCell ref="A2:E2"/>
    <mergeCell ref="A4:E4"/>
    <mergeCell ref="A26:E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GS TRATOR</dc:creator>
  <cp:lastModifiedBy>ADM GS TRATOR</cp:lastModifiedBy>
  <dcterms:created xsi:type="dcterms:W3CDTF">2026-08-19T17:47:56Z</dcterms:created>
  <dcterms:modified xsi:type="dcterms:W3CDTF">2026-08-25T17:23:26Z</dcterms:modified>
</cp:coreProperties>
</file>